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wanseauniversity-my.sharepoint.com/personal/a_p_osbourne_swansea_ac_uk/Documents/Documents/FSE/BioMed Eng/Brown EPSRC INF799/"/>
    </mc:Choice>
  </mc:AlternateContent>
  <xr:revisionPtr revIDLastSave="0" documentId="8_{19D28498-78D6-4F0C-A775-E747B07E36EC}" xr6:coauthVersionLast="47" xr6:coauthVersionMax="47" xr10:uidLastSave="{00000000-0000-0000-0000-000000000000}"/>
  <bookViews>
    <workbookView xWindow="-108" yWindow="-108" windowWidth="23256" windowHeight="12456" xr2:uid="{7CE38B98-5CDA-454E-8535-93A3160F8F78}"/>
  </bookViews>
  <sheets>
    <sheet name="PI 0.1 FTE + NV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5" l="1"/>
  <c r="D8" i="5" s="1"/>
  <c r="D7" i="5"/>
  <c r="D6" i="5"/>
  <c r="D5" i="5"/>
  <c r="D4" i="5"/>
  <c r="G8" i="5"/>
  <c r="H8" i="5" s="1"/>
  <c r="H7" i="5"/>
  <c r="H6" i="5"/>
  <c r="H5" i="5"/>
  <c r="H4" i="5"/>
  <c r="C15" i="5"/>
  <c r="D15" i="5" s="1"/>
  <c r="D14" i="5"/>
  <c r="D13" i="5"/>
  <c r="D12" i="5"/>
  <c r="C17" i="5" l="1"/>
  <c r="D17" i="5" s="1"/>
</calcChain>
</file>

<file path=xl/sharedStrings.xml><?xml version="1.0" encoding="utf-8"?>
<sst xmlns="http://schemas.openxmlformats.org/spreadsheetml/2006/main" count="30" uniqueCount="16">
  <si>
    <t>Salary</t>
  </si>
  <si>
    <t>Estates</t>
  </si>
  <si>
    <t>Indirects</t>
  </si>
  <si>
    <t xml:space="preserve">Subtotal </t>
  </si>
  <si>
    <t>100% fEC</t>
  </si>
  <si>
    <t>80% fEC</t>
  </si>
  <si>
    <t>Inf. Tech</t>
  </si>
  <si>
    <t>Inf Tech</t>
  </si>
  <si>
    <t>RA (G7, S30) 1.0 FTE</t>
  </si>
  <si>
    <t>PcL (NV) 0.05 FTE</t>
  </si>
  <si>
    <t>12months</t>
  </si>
  <si>
    <t>6 months</t>
  </si>
  <si>
    <t>Total</t>
  </si>
  <si>
    <t>01/03/27-29/02/28</t>
  </si>
  <si>
    <t>PL (RB) 0.1 FTE</t>
  </si>
  <si>
    <t>01/07/27-31/12/27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</si>
</sst>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41" fontId="0" fillId="0" borderId="0" xfId="0" applyNumberFormat="1"/>
    <xf numFmtId="0" fontId="1" fillId="0" borderId="1" xfId="0" applyFont="1" applyBorder="1"/>
    <xf numFmtId="0" fontId="0" fillId="0" borderId="1" xfId="0" applyBorder="1"/>
    <xf numFmtId="41" fontId="0" fillId="0" borderId="1" xfId="0" applyNumberFormat="1" applyBorder="1"/>
    <xf numFmtId="41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41" fontId="1" fillId="0" borderId="0" xfId="0" applyNumberFormat="1" applyFont="1"/>
    <xf numFmtId="0" fontId="0" fillId="0" borderId="1" xfId="0" applyBorder="1" applyAlignment="1">
      <alignment horizontal="center"/>
    </xf>
    <xf numFmtId="41" fontId="1" fillId="2" borderId="1" xfId="0" applyNumberFormat="1" applyFont="1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74B1A-5886-4561-AABE-C2AB1B59D58D}">
  <dimension ref="B2:H22"/>
  <sheetViews>
    <sheetView tabSelected="1" topLeftCell="A4" workbookViewId="0">
      <selection activeCell="G17" sqref="G17"/>
    </sheetView>
  </sheetViews>
  <sheetFormatPr defaultRowHeight="14.4" x14ac:dyDescent="0.3"/>
  <cols>
    <col min="1" max="1" width="4.33203125" customWidth="1"/>
    <col min="2" max="2" width="16.44140625" bestFit="1" customWidth="1"/>
    <col min="3" max="3" width="11.44140625" bestFit="1" customWidth="1"/>
    <col min="5" max="5" width="2.109375" customWidth="1"/>
    <col min="6" max="6" width="17.5546875" bestFit="1" customWidth="1"/>
    <col min="7" max="7" width="8.77734375" bestFit="1" customWidth="1"/>
  </cols>
  <sheetData>
    <row r="2" spans="2:8" x14ac:dyDescent="0.3">
      <c r="B2" s="12" t="s">
        <v>13</v>
      </c>
      <c r="C2" s="3" t="s">
        <v>10</v>
      </c>
      <c r="F2" s="11" t="s">
        <v>15</v>
      </c>
      <c r="G2" s="3" t="s">
        <v>11</v>
      </c>
    </row>
    <row r="3" spans="2:8" x14ac:dyDescent="0.3">
      <c r="B3" s="2" t="s">
        <v>14</v>
      </c>
      <c r="C3" s="6" t="s">
        <v>4</v>
      </c>
      <c r="D3" s="9" t="s">
        <v>5</v>
      </c>
      <c r="F3" s="2" t="s">
        <v>8</v>
      </c>
      <c r="G3" s="6" t="s">
        <v>4</v>
      </c>
      <c r="H3" s="9" t="s">
        <v>5</v>
      </c>
    </row>
    <row r="4" spans="2:8" x14ac:dyDescent="0.3">
      <c r="B4" s="3" t="s">
        <v>0</v>
      </c>
      <c r="C4" s="4">
        <v>8352</v>
      </c>
      <c r="D4" s="4">
        <f>SUM(C4*0.8)</f>
        <v>6681.6</v>
      </c>
      <c r="F4" s="3" t="s">
        <v>0</v>
      </c>
      <c r="G4" s="4">
        <v>24829</v>
      </c>
      <c r="H4" s="4">
        <f>SUM(G4*0.8)</f>
        <v>19863.2</v>
      </c>
    </row>
    <row r="5" spans="2:8" x14ac:dyDescent="0.3">
      <c r="B5" s="3" t="s">
        <v>1</v>
      </c>
      <c r="C5" s="4">
        <v>2708</v>
      </c>
      <c r="D5" s="4">
        <f>SUM(C5*0.8)</f>
        <v>2166.4</v>
      </c>
      <c r="F5" s="3" t="s">
        <v>1</v>
      </c>
      <c r="G5" s="4">
        <v>13542</v>
      </c>
      <c r="H5" s="4">
        <f>SUM(G5*0.8)</f>
        <v>10833.6</v>
      </c>
    </row>
    <row r="6" spans="2:8" x14ac:dyDescent="0.3">
      <c r="B6" s="3" t="s">
        <v>7</v>
      </c>
      <c r="C6" s="4">
        <v>101</v>
      </c>
      <c r="D6" s="4">
        <f>SUM(C6*0.8)</f>
        <v>80.800000000000011</v>
      </c>
      <c r="F6" s="3" t="s">
        <v>6</v>
      </c>
      <c r="G6" s="4">
        <v>507</v>
      </c>
      <c r="H6" s="4">
        <f>SUM(G6*0.8)</f>
        <v>405.6</v>
      </c>
    </row>
    <row r="7" spans="2:8" x14ac:dyDescent="0.3">
      <c r="B7" s="3" t="s">
        <v>2</v>
      </c>
      <c r="C7" s="4">
        <v>6503</v>
      </c>
      <c r="D7" s="4">
        <f>SUM(C7*0.8)</f>
        <v>5202.4000000000005</v>
      </c>
      <c r="F7" s="3" t="s">
        <v>2</v>
      </c>
      <c r="G7" s="4">
        <v>32514</v>
      </c>
      <c r="H7" s="4">
        <f>SUM(G7*0.8)</f>
        <v>26011.200000000001</v>
      </c>
    </row>
    <row r="8" spans="2:8" x14ac:dyDescent="0.3">
      <c r="B8" s="2" t="s">
        <v>3</v>
      </c>
      <c r="C8" s="5">
        <f>SUM(C4:C7)</f>
        <v>17664</v>
      </c>
      <c r="D8" s="4">
        <f>SUM(C8*0.8)</f>
        <v>14131.2</v>
      </c>
      <c r="F8" s="2" t="s">
        <v>3</v>
      </c>
      <c r="G8" s="5">
        <f>SUM(G4:G7)</f>
        <v>71392</v>
      </c>
      <c r="H8" s="4">
        <f>SUM(G8*0.8)</f>
        <v>57113.600000000006</v>
      </c>
    </row>
    <row r="9" spans="2:8" ht="7.2" customHeight="1" x14ac:dyDescent="0.3">
      <c r="C9" s="1"/>
      <c r="D9" s="1"/>
    </row>
    <row r="10" spans="2:8" x14ac:dyDescent="0.3">
      <c r="B10" s="12" t="s">
        <v>13</v>
      </c>
      <c r="C10" s="3" t="s">
        <v>10</v>
      </c>
      <c r="D10" s="1"/>
    </row>
    <row r="11" spans="2:8" x14ac:dyDescent="0.3">
      <c r="B11" s="2" t="s">
        <v>9</v>
      </c>
      <c r="C11" s="6" t="s">
        <v>4</v>
      </c>
      <c r="D11" s="9" t="s">
        <v>5</v>
      </c>
    </row>
    <row r="12" spans="2:8" x14ac:dyDescent="0.3">
      <c r="B12" s="3" t="s">
        <v>0</v>
      </c>
      <c r="C12" s="4">
        <v>4176</v>
      </c>
      <c r="D12" s="4">
        <f>SUM(C12*0.8)</f>
        <v>3340.8</v>
      </c>
    </row>
    <row r="13" spans="2:8" x14ac:dyDescent="0.3">
      <c r="B13" s="3" t="s">
        <v>1</v>
      </c>
      <c r="C13" s="4">
        <v>435</v>
      </c>
      <c r="D13" s="4">
        <f t="shared" ref="D13" si="0">SUM(C13*0.8)</f>
        <v>348</v>
      </c>
    </row>
    <row r="14" spans="2:8" x14ac:dyDescent="0.3">
      <c r="B14" s="3" t="s">
        <v>2</v>
      </c>
      <c r="C14" s="4">
        <v>3251</v>
      </c>
      <c r="D14" s="4">
        <f>SUM(C14*0.8)</f>
        <v>2600.8000000000002</v>
      </c>
    </row>
    <row r="15" spans="2:8" x14ac:dyDescent="0.3">
      <c r="B15" s="2" t="s">
        <v>3</v>
      </c>
      <c r="C15" s="5">
        <f>SUM(C12:C14)</f>
        <v>7862</v>
      </c>
      <c r="D15" s="4">
        <f>SUM(C15*0.8)</f>
        <v>6289.6</v>
      </c>
    </row>
    <row r="17" spans="2:8" x14ac:dyDescent="0.3">
      <c r="B17" s="2" t="s">
        <v>12</v>
      </c>
      <c r="C17" s="10">
        <f>SUM(C8+C15+G8)</f>
        <v>96918</v>
      </c>
      <c r="D17" s="4">
        <f t="shared" ref="D17" si="1">SUM(C17*0.8)</f>
        <v>77534.400000000009</v>
      </c>
    </row>
    <row r="22" spans="2:8" x14ac:dyDescent="0.3">
      <c r="F22" s="7"/>
      <c r="G22" s="8"/>
      <c r="H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 0.1 FTE + NV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Osbourne</dc:creator>
  <cp:lastModifiedBy>Adrian Osbourne</cp:lastModifiedBy>
  <dcterms:created xsi:type="dcterms:W3CDTF">2026-05-06T12:54:35Z</dcterms:created>
  <dcterms:modified xsi:type="dcterms:W3CDTF">2026-10-16T14:19:06Z</dcterms:modified>
</cp:coreProperties>
</file>